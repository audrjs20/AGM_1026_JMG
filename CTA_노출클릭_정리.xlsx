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명건\Desktop\K-뉴딜 아카데미\2주차\최재우 강사님\Landing_실습\"/>
    </mc:Choice>
  </mc:AlternateContent>
  <xr:revisionPtr revIDLastSave="0" documentId="8_{0ABC4871-C4C0-479C-A78C-D72F02EAAD47}" xr6:coauthVersionLast="47" xr6:coauthVersionMax="47" xr10:uidLastSave="{00000000-0000-0000-0000-000000000000}"/>
  <bookViews>
    <workbookView xWindow="-110" yWindow="-110" windowWidth="25820" windowHeight="15500" xr2:uid="{018ACC6E-2096-495C-B9F3-133E91C6A0DF}"/>
  </bookViews>
  <sheets>
    <sheet name="요약" sheetId="3" r:id="rId1"/>
    <sheet name="노출" sheetId="2" r:id="rId2"/>
    <sheet name="클릭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D18" i="1"/>
  <c r="C18" i="1"/>
  <c r="B18" i="1"/>
  <c r="A18" i="1"/>
  <c r="E17" i="1"/>
  <c r="E19" i="1" s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E19" i="2" s="1"/>
  <c r="D6" i="2"/>
  <c r="C6" i="2"/>
  <c r="B6" i="2"/>
  <c r="A6" i="2"/>
  <c r="G18" i="3"/>
  <c r="F18" i="3"/>
  <c r="H18" i="3" s="1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F6" i="2" l="1"/>
  <c r="F7" i="2"/>
  <c r="F8" i="2"/>
  <c r="F9" i="2"/>
  <c r="F10" i="2"/>
  <c r="F11" i="2"/>
  <c r="F12" i="2"/>
  <c r="F13" i="2"/>
  <c r="F14" i="2"/>
  <c r="F15" i="2"/>
  <c r="F18" i="2"/>
  <c r="F16" i="1"/>
  <c r="F15" i="1"/>
  <c r="F14" i="1"/>
  <c r="F13" i="1"/>
  <c r="F12" i="1"/>
  <c r="F11" i="1"/>
  <c r="F10" i="1"/>
  <c r="F9" i="1"/>
  <c r="F8" i="1"/>
  <c r="F7" i="1"/>
  <c r="F6" i="1"/>
  <c r="F19" i="1" s="1"/>
  <c r="F18" i="1"/>
  <c r="F17" i="1"/>
  <c r="F17" i="2"/>
  <c r="F16" i="2"/>
  <c r="F19" i="2" l="1"/>
</calcChain>
</file>

<file path=xl/sharedStrings.xml><?xml version="1.0" encoding="utf-8"?>
<sst xmlns="http://schemas.openxmlformats.org/spreadsheetml/2006/main" count="91" uniqueCount="61">
  <si>
    <t>CTA별 노출·클릭 정리 - 우리동네 돌봄 히어로 랜딩페이지</t>
  </si>
  <si>
    <t>출처: Amplitude 프로젝트 887071, 최근 7일(2026-10-26 기준). 모든 수치는 테스트 접속 포함(utm_source=qa_*). 파란색 숫자는 Amplitude에서 가져온 입력값, 검정색은 수식입니다.</t>
  </si>
  <si>
    <t>No</t>
  </si>
  <si>
    <t>CTA ID</t>
  </si>
  <si>
    <t>버튼 문구</t>
  </si>
  <si>
    <t>위치</t>
  </si>
  <si>
    <t>화면</t>
  </si>
  <si>
    <t>노출수(cta_impression)</t>
  </si>
  <si>
    <t>클릭수(cta_click)</t>
  </si>
  <si>
    <t>클릭률(CTR)</t>
  </si>
  <si>
    <t>스크린샷</t>
  </si>
  <si>
    <t>비고</t>
  </si>
  <si>
    <t>header_signup</t>
  </si>
  <si>
    <t>무료체험 신청</t>
  </si>
  <si>
    <t>상단 헤더</t>
  </si>
  <si>
    <t>PC</t>
  </si>
  <si>
    <t>hero_signup</t>
  </si>
  <si>
    <t>무료체험 신청하기 →</t>
  </si>
  <si>
    <t>첫 화면(히어로)</t>
  </si>
  <si>
    <t>hero_app</t>
  </si>
  <si>
    <t>앱 다운로드</t>
  </si>
  <si>
    <t>pkg_basic</t>
  </si>
  <si>
    <t>이 패키지로 시작하기 (등하원+기본돌봄)</t>
  </si>
  <si>
    <t>패키지 할인</t>
  </si>
  <si>
    <t>pkg_play</t>
  </si>
  <si>
    <t>이 패키지로 시작하기 (히어로 놀이패키지)</t>
  </si>
  <si>
    <t>trial_signup</t>
  </si>
  <si>
    <t>무료체험 바로 신청하기 →</t>
  </si>
  <si>
    <t>무료체험 3단계</t>
  </si>
  <si>
    <t>checklist_done</t>
  </si>
  <si>
    <t>무료체험 신청 → (체크리스트 완료 시 표시)</t>
  </si>
  <si>
    <t>돌봄 체크리스트</t>
  </si>
  <si>
    <t>테스트 중 강제 표시된 노출 1건 포함</t>
  </si>
  <si>
    <t>final_appstore</t>
  </si>
  <si>
    <t>App Store</t>
  </si>
  <si>
    <t>최종 CTA(앱 다운로드)</t>
  </si>
  <si>
    <t>final_playstore</t>
  </si>
  <si>
    <t>Google Play</t>
  </si>
  <si>
    <t>form_submit</t>
  </si>
  <si>
    <t>무료체험 신청 완료하기</t>
  </si>
  <si>
    <t>간편가입 폼</t>
  </si>
  <si>
    <t>success_app</t>
  </si>
  <si>
    <t>앱 설치하러 가기 (가입 완료 후 표시)</t>
  </si>
  <si>
    <t>sticky_app</t>
  </si>
  <si>
    <t>앱 받기</t>
  </si>
  <si>
    <t>모바일 하단 고정바</t>
  </si>
  <si>
    <t>모바일</t>
  </si>
  <si>
    <t>화면 폭 900px 이하에서만 표시</t>
  </si>
  <si>
    <t>sticky_signup</t>
  </si>
  <si>
    <t>합계</t>
  </si>
  <si>
    <t>※ 클릭률 = 클릭수 / 노출수. 노출은 버튼이 화면에 50% 이상 보일 때 방문당 1회, 클릭은 누를 때마다 집계됩니다.</t>
  </si>
  <si>
    <t>※ 스크린샷의 빨간 테두리가 해당 CTA입니다(PC 1280x800, 모바일 390x844 기준).</t>
  </si>
  <si>
    <t>CTA 노출 현황</t>
  </si>
  <si>
    <t>이벤트명: cta_impression</t>
  </si>
  <si>
    <t>버튼이 화면에 50% 이상 보이면 방문(페이지 로드)당 1회 기록됩니다.</t>
  </si>
  <si>
    <t>노출수</t>
  </si>
  <si>
    <t>전체 대비 비중</t>
  </si>
  <si>
    <t>CTA 클릭 현황</t>
  </si>
  <si>
    <t>이벤트명: cta_click</t>
  </si>
  <si>
    <t>버튼을 누를 때마다 기록됩니다.</t>
  </si>
  <si>
    <t>클릭수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</si>
</sst>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%;\-0.0%;&quot;-&quot;"/>
  </numFmts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rgb="FF666666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</xdr:colOff>
      <xdr:row>4</xdr:row>
      <xdr:rowOff>50800</xdr:rowOff>
    </xdr:from>
    <xdr:to>
      <xdr:col>8</xdr:col>
      <xdr:colOff>2590800</xdr:colOff>
      <xdr:row>4</xdr:row>
      <xdr:rowOff>1638300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5EBB0F-CF23-AA7A-20A8-F186250F2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1303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5</xdr:row>
      <xdr:rowOff>50800</xdr:rowOff>
    </xdr:from>
    <xdr:to>
      <xdr:col>8</xdr:col>
      <xdr:colOff>2590800</xdr:colOff>
      <xdr:row>5</xdr:row>
      <xdr:rowOff>1638300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2D249E4-E6B4-3BF5-F759-D36503913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28067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6</xdr:row>
      <xdr:rowOff>50800</xdr:rowOff>
    </xdr:from>
    <xdr:to>
      <xdr:col>8</xdr:col>
      <xdr:colOff>2590800</xdr:colOff>
      <xdr:row>6</xdr:row>
      <xdr:rowOff>1638300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772D397-6D0F-66D6-3A8F-3864ECC0A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44831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7</xdr:row>
      <xdr:rowOff>50800</xdr:rowOff>
    </xdr:from>
    <xdr:to>
      <xdr:col>8</xdr:col>
      <xdr:colOff>2590800</xdr:colOff>
      <xdr:row>7</xdr:row>
      <xdr:rowOff>1638300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E209E76-1AD7-E3C0-4323-0CC71FE99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61595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8</xdr:row>
      <xdr:rowOff>50800</xdr:rowOff>
    </xdr:from>
    <xdr:to>
      <xdr:col>8</xdr:col>
      <xdr:colOff>2590800</xdr:colOff>
      <xdr:row>8</xdr:row>
      <xdr:rowOff>1638300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FC50841-7970-DF33-F621-8A0250D78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78359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9</xdr:row>
      <xdr:rowOff>50800</xdr:rowOff>
    </xdr:from>
    <xdr:to>
      <xdr:col>8</xdr:col>
      <xdr:colOff>2590800</xdr:colOff>
      <xdr:row>9</xdr:row>
      <xdr:rowOff>1638300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502094F-B26F-E03D-DB63-BCA418329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95123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10</xdr:row>
      <xdr:rowOff>50800</xdr:rowOff>
    </xdr:from>
    <xdr:to>
      <xdr:col>8</xdr:col>
      <xdr:colOff>2590800</xdr:colOff>
      <xdr:row>10</xdr:row>
      <xdr:rowOff>1638300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54BC299-6D14-EFBB-BA14-9B7227547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11887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11</xdr:row>
      <xdr:rowOff>50800</xdr:rowOff>
    </xdr:from>
    <xdr:to>
      <xdr:col>8</xdr:col>
      <xdr:colOff>2590800</xdr:colOff>
      <xdr:row>11</xdr:row>
      <xdr:rowOff>1638300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E702C32-C23A-A9A9-28FF-F6A3DE932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28651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12</xdr:row>
      <xdr:rowOff>50800</xdr:rowOff>
    </xdr:from>
    <xdr:to>
      <xdr:col>8</xdr:col>
      <xdr:colOff>2590800</xdr:colOff>
      <xdr:row>12</xdr:row>
      <xdr:rowOff>1638300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307FE5D-39DF-CCB4-868D-8292244AA0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45415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13</xdr:row>
      <xdr:rowOff>50800</xdr:rowOff>
    </xdr:from>
    <xdr:to>
      <xdr:col>8</xdr:col>
      <xdr:colOff>2590800</xdr:colOff>
      <xdr:row>13</xdr:row>
      <xdr:rowOff>1638300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D8E03C7-EA79-072F-2B3F-CA27DC1A9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62179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14</xdr:row>
      <xdr:rowOff>50800</xdr:rowOff>
    </xdr:from>
    <xdr:to>
      <xdr:col>8</xdr:col>
      <xdr:colOff>2590800</xdr:colOff>
      <xdr:row>14</xdr:row>
      <xdr:rowOff>1638300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1A5B48D-EE66-8D49-8CC7-32889F13A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7894300"/>
          <a:ext cx="2540000" cy="15875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15</xdr:row>
      <xdr:rowOff>50800</xdr:rowOff>
    </xdr:from>
    <xdr:to>
      <xdr:col>8</xdr:col>
      <xdr:colOff>838200</xdr:colOff>
      <xdr:row>16</xdr:row>
      <xdr:rowOff>76200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9ED88A0-5DDD-924E-2B68-38E2CE789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9570700"/>
          <a:ext cx="787400" cy="17018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16</xdr:row>
      <xdr:rowOff>50800</xdr:rowOff>
    </xdr:from>
    <xdr:to>
      <xdr:col>8</xdr:col>
      <xdr:colOff>838200</xdr:colOff>
      <xdr:row>17</xdr:row>
      <xdr:rowOff>76200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0C2ED6B-3A45-4068-F992-B78DC8C36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21247100"/>
          <a:ext cx="787400" cy="170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7DAB-47A0-44D7-8BF2-853CD4C3FE5C}">
  <dimension ref="A1:J21"/>
  <sheetViews>
    <sheetView tabSelected="1" workbookViewId="0"/>
  </sheetViews>
  <sheetFormatPr defaultRowHeight="16" x14ac:dyDescent="0.45"/>
  <cols>
    <col min="1" max="1" width="5.58203125" style="1" customWidth="1"/>
    <col min="2" max="2" width="16.58203125" style="1" customWidth="1"/>
    <col min="3" max="3" width="30.58203125" style="1" customWidth="1"/>
    <col min="4" max="4" width="20.58203125" style="1" customWidth="1"/>
    <col min="5" max="5" width="8.58203125" style="1" customWidth="1"/>
    <col min="6" max="7" width="14.58203125" style="1" customWidth="1"/>
    <col min="8" max="8" width="11.58203125" style="1" customWidth="1"/>
    <col min="9" max="9" width="34.58203125" style="1" customWidth="1"/>
    <col min="10" max="10" width="28.58203125" style="1" customWidth="1"/>
    <col min="11" max="16384" width="8.6640625" style="1"/>
  </cols>
  <sheetData>
    <row r="1" spans="1:10" ht="21" x14ac:dyDescent="0.45">
      <c r="A1" s="2" t="s">
        <v>0</v>
      </c>
    </row>
    <row r="2" spans="1:10" x14ac:dyDescent="0.45">
      <c r="A2" s="3" t="s">
        <v>1</v>
      </c>
    </row>
    <row r="4" spans="1:10" ht="32" customHeight="1" x14ac:dyDescent="0.4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132" customHeight="1" x14ac:dyDescent="0.45">
      <c r="A5" s="5">
        <v>1</v>
      </c>
      <c r="B5" s="6" t="s">
        <v>12</v>
      </c>
      <c r="C5" s="7" t="s">
        <v>13</v>
      </c>
      <c r="D5" s="7" t="s">
        <v>14</v>
      </c>
      <c r="E5" s="5" t="s">
        <v>15</v>
      </c>
      <c r="F5" s="8">
        <v>3</v>
      </c>
      <c r="G5" s="8">
        <v>0</v>
      </c>
      <c r="H5" s="9">
        <f>IF(F5=0,0,G5/F5)</f>
        <v>0</v>
      </c>
      <c r="I5" s="10"/>
      <c r="J5" s="7"/>
    </row>
    <row r="6" spans="1:10" ht="132" customHeight="1" x14ac:dyDescent="0.45">
      <c r="A6" s="5">
        <v>2</v>
      </c>
      <c r="B6" s="6" t="s">
        <v>16</v>
      </c>
      <c r="C6" s="7" t="s">
        <v>17</v>
      </c>
      <c r="D6" s="7" t="s">
        <v>18</v>
      </c>
      <c r="E6" s="5" t="s">
        <v>15</v>
      </c>
      <c r="F6" s="8">
        <v>4</v>
      </c>
      <c r="G6" s="8">
        <v>1</v>
      </c>
      <c r="H6" s="9">
        <f>IF(F6=0,0,G6/F6)</f>
        <v>0.25</v>
      </c>
      <c r="I6" s="10"/>
      <c r="J6" s="7"/>
    </row>
    <row r="7" spans="1:10" ht="132" customHeight="1" x14ac:dyDescent="0.45">
      <c r="A7" s="5">
        <v>3</v>
      </c>
      <c r="B7" s="6" t="s">
        <v>19</v>
      </c>
      <c r="C7" s="7" t="s">
        <v>20</v>
      </c>
      <c r="D7" s="7" t="s">
        <v>18</v>
      </c>
      <c r="E7" s="5" t="s">
        <v>15</v>
      </c>
      <c r="F7" s="8">
        <v>4</v>
      </c>
      <c r="G7" s="8">
        <v>0</v>
      </c>
      <c r="H7" s="9">
        <f>IF(F7=0,0,G7/F7)</f>
        <v>0</v>
      </c>
      <c r="I7" s="10"/>
      <c r="J7" s="7"/>
    </row>
    <row r="8" spans="1:10" ht="132" customHeight="1" x14ac:dyDescent="0.45">
      <c r="A8" s="5">
        <v>4</v>
      </c>
      <c r="B8" s="6" t="s">
        <v>21</v>
      </c>
      <c r="C8" s="7" t="s">
        <v>22</v>
      </c>
      <c r="D8" s="7" t="s">
        <v>23</v>
      </c>
      <c r="E8" s="5" t="s">
        <v>15</v>
      </c>
      <c r="F8" s="8">
        <v>2</v>
      </c>
      <c r="G8" s="8">
        <v>1</v>
      </c>
      <c r="H8" s="9">
        <f>IF(F8=0,0,G8/F8)</f>
        <v>0.5</v>
      </c>
      <c r="I8" s="10"/>
      <c r="J8" s="7"/>
    </row>
    <row r="9" spans="1:10" ht="132" customHeight="1" x14ac:dyDescent="0.45">
      <c r="A9" s="5">
        <v>5</v>
      </c>
      <c r="B9" s="6" t="s">
        <v>24</v>
      </c>
      <c r="C9" s="7" t="s">
        <v>25</v>
      </c>
      <c r="D9" s="7" t="s">
        <v>23</v>
      </c>
      <c r="E9" s="5" t="s">
        <v>15</v>
      </c>
      <c r="F9" s="8">
        <v>1</v>
      </c>
      <c r="G9" s="8">
        <v>0</v>
      </c>
      <c r="H9" s="9">
        <f>IF(F9=0,0,G9/F9)</f>
        <v>0</v>
      </c>
      <c r="I9" s="10"/>
      <c r="J9" s="7"/>
    </row>
    <row r="10" spans="1:10" ht="132" customHeight="1" x14ac:dyDescent="0.45">
      <c r="A10" s="5">
        <v>6</v>
      </c>
      <c r="B10" s="6" t="s">
        <v>26</v>
      </c>
      <c r="C10" s="7" t="s">
        <v>27</v>
      </c>
      <c r="D10" s="7" t="s">
        <v>28</v>
      </c>
      <c r="E10" s="5" t="s">
        <v>15</v>
      </c>
      <c r="F10" s="8">
        <v>1</v>
      </c>
      <c r="G10" s="8">
        <v>0</v>
      </c>
      <c r="H10" s="9">
        <f>IF(F10=0,0,G10/F10)</f>
        <v>0</v>
      </c>
      <c r="I10" s="10"/>
      <c r="J10" s="7"/>
    </row>
    <row r="11" spans="1:10" ht="132" customHeight="1" x14ac:dyDescent="0.45">
      <c r="A11" s="5">
        <v>7</v>
      </c>
      <c r="B11" s="6" t="s">
        <v>29</v>
      </c>
      <c r="C11" s="7" t="s">
        <v>30</v>
      </c>
      <c r="D11" s="7" t="s">
        <v>31</v>
      </c>
      <c r="E11" s="5" t="s">
        <v>15</v>
      </c>
      <c r="F11" s="8">
        <v>1</v>
      </c>
      <c r="G11" s="8">
        <v>0</v>
      </c>
      <c r="H11" s="9">
        <f>IF(F11=0,0,G11/F11)</f>
        <v>0</v>
      </c>
      <c r="I11" s="10"/>
      <c r="J11" s="7" t="s">
        <v>32</v>
      </c>
    </row>
    <row r="12" spans="1:10" ht="132" customHeight="1" x14ac:dyDescent="0.45">
      <c r="A12" s="5">
        <v>8</v>
      </c>
      <c r="B12" s="6" t="s">
        <v>33</v>
      </c>
      <c r="C12" s="7" t="s">
        <v>34</v>
      </c>
      <c r="D12" s="7" t="s">
        <v>35</v>
      </c>
      <c r="E12" s="5" t="s">
        <v>15</v>
      </c>
      <c r="F12" s="8">
        <v>3</v>
      </c>
      <c r="G12" s="8">
        <v>0</v>
      </c>
      <c r="H12" s="9">
        <f>IF(F12=0,0,G12/F12)</f>
        <v>0</v>
      </c>
      <c r="I12" s="10"/>
      <c r="J12" s="7"/>
    </row>
    <row r="13" spans="1:10" ht="132" customHeight="1" x14ac:dyDescent="0.45">
      <c r="A13" s="5">
        <v>9</v>
      </c>
      <c r="B13" s="6" t="s">
        <v>36</v>
      </c>
      <c r="C13" s="7" t="s">
        <v>37</v>
      </c>
      <c r="D13" s="7" t="s">
        <v>35</v>
      </c>
      <c r="E13" s="5" t="s">
        <v>15</v>
      </c>
      <c r="F13" s="8">
        <v>3</v>
      </c>
      <c r="G13" s="8">
        <v>0</v>
      </c>
      <c r="H13" s="9">
        <f>IF(F13=0,0,G13/F13)</f>
        <v>0</v>
      </c>
      <c r="I13" s="10"/>
      <c r="J13" s="7"/>
    </row>
    <row r="14" spans="1:10" ht="132" customHeight="1" x14ac:dyDescent="0.45">
      <c r="A14" s="5">
        <v>10</v>
      </c>
      <c r="B14" s="6" t="s">
        <v>38</v>
      </c>
      <c r="C14" s="7" t="s">
        <v>39</v>
      </c>
      <c r="D14" s="7" t="s">
        <v>40</v>
      </c>
      <c r="E14" s="5" t="s">
        <v>15</v>
      </c>
      <c r="F14" s="8">
        <v>3</v>
      </c>
      <c r="G14" s="8">
        <v>0</v>
      </c>
      <c r="H14" s="9">
        <f>IF(F14=0,0,G14/F14)</f>
        <v>0</v>
      </c>
      <c r="I14" s="10"/>
      <c r="J14" s="7"/>
    </row>
    <row r="15" spans="1:10" ht="132" customHeight="1" x14ac:dyDescent="0.45">
      <c r="A15" s="5">
        <v>11</v>
      </c>
      <c r="B15" s="6" t="s">
        <v>41</v>
      </c>
      <c r="C15" s="7" t="s">
        <v>42</v>
      </c>
      <c r="D15" s="7" t="s">
        <v>40</v>
      </c>
      <c r="E15" s="5" t="s">
        <v>15</v>
      </c>
      <c r="F15" s="8">
        <v>1</v>
      </c>
      <c r="G15" s="8">
        <v>0</v>
      </c>
      <c r="H15" s="9">
        <f>IF(F15=0,0,G15/F15)</f>
        <v>0</v>
      </c>
      <c r="I15" s="10"/>
      <c r="J15" s="7" t="s">
        <v>32</v>
      </c>
    </row>
    <row r="16" spans="1:10" ht="132" customHeight="1" x14ac:dyDescent="0.45">
      <c r="A16" s="5">
        <v>12</v>
      </c>
      <c r="B16" s="6" t="s">
        <v>43</v>
      </c>
      <c r="C16" s="7" t="s">
        <v>44</v>
      </c>
      <c r="D16" s="7" t="s">
        <v>45</v>
      </c>
      <c r="E16" s="5" t="s">
        <v>46</v>
      </c>
      <c r="F16" s="8">
        <v>4</v>
      </c>
      <c r="G16" s="8">
        <v>0</v>
      </c>
      <c r="H16" s="9">
        <f>IF(F16=0,0,G16/F16)</f>
        <v>0</v>
      </c>
      <c r="I16" s="10"/>
      <c r="J16" s="7" t="s">
        <v>47</v>
      </c>
    </row>
    <row r="17" spans="1:10" ht="132" customHeight="1" x14ac:dyDescent="0.45">
      <c r="A17" s="5">
        <v>13</v>
      </c>
      <c r="B17" s="6" t="s">
        <v>48</v>
      </c>
      <c r="C17" s="7" t="s">
        <v>13</v>
      </c>
      <c r="D17" s="7" t="s">
        <v>45</v>
      </c>
      <c r="E17" s="5" t="s">
        <v>46</v>
      </c>
      <c r="F17" s="8">
        <v>4</v>
      </c>
      <c r="G17" s="8">
        <v>1</v>
      </c>
      <c r="H17" s="9">
        <f>IF(F17=0,0,G17/F17)</f>
        <v>0.25</v>
      </c>
      <c r="I17" s="10"/>
      <c r="J17" s="7" t="s">
        <v>47</v>
      </c>
    </row>
    <row r="18" spans="1:10" ht="24" customHeight="1" x14ac:dyDescent="0.45">
      <c r="A18" s="11"/>
      <c r="B18" s="11" t="s">
        <v>49</v>
      </c>
      <c r="C18" s="11"/>
      <c r="D18" s="11"/>
      <c r="E18" s="12"/>
      <c r="F18" s="13">
        <f>SUM(F5:F17)</f>
        <v>34</v>
      </c>
      <c r="G18" s="13">
        <f>SUM(G5:G17)</f>
        <v>3</v>
      </c>
      <c r="H18" s="14">
        <f>IF(F18=0,0,G18/F18)</f>
        <v>8.8235294117647065E-2</v>
      </c>
      <c r="I18" s="15"/>
      <c r="J18" s="15"/>
    </row>
    <row r="20" spans="1:10" x14ac:dyDescent="0.45">
      <c r="A20" s="1" t="s">
        <v>50</v>
      </c>
    </row>
    <row r="21" spans="1:10" x14ac:dyDescent="0.45">
      <c r="A21" s="1" t="s">
        <v>51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514A-759D-4FC7-A237-75112D1B7596}">
  <dimension ref="A1:F19"/>
  <sheetViews>
    <sheetView workbookViewId="0"/>
  </sheetViews>
  <sheetFormatPr defaultRowHeight="16" x14ac:dyDescent="0.45"/>
  <cols>
    <col min="1" max="1" width="5.58203125" style="1" customWidth="1"/>
    <col min="2" max="2" width="16.58203125" style="1" customWidth="1"/>
    <col min="3" max="3" width="40.58203125" style="1" customWidth="1"/>
    <col min="4" max="4" width="22.58203125" style="1" customWidth="1"/>
    <col min="5" max="6" width="14.58203125" style="1" customWidth="1"/>
    <col min="7" max="16384" width="8.6640625" style="1"/>
  </cols>
  <sheetData>
    <row r="1" spans="1:6" ht="21" x14ac:dyDescent="0.45">
      <c r="A1" s="2" t="s">
        <v>52</v>
      </c>
    </row>
    <row r="2" spans="1:6" x14ac:dyDescent="0.45">
      <c r="A2" s="1" t="s">
        <v>53</v>
      </c>
    </row>
    <row r="3" spans="1:6" x14ac:dyDescent="0.45">
      <c r="A3" s="3" t="s">
        <v>54</v>
      </c>
    </row>
    <row r="5" spans="1:6" x14ac:dyDescent="0.45">
      <c r="A5" s="16" t="s">
        <v>2</v>
      </c>
      <c r="B5" s="16" t="s">
        <v>3</v>
      </c>
      <c r="C5" s="16" t="s">
        <v>4</v>
      </c>
      <c r="D5" s="16" t="s">
        <v>5</v>
      </c>
      <c r="E5" s="16" t="s">
        <v>55</v>
      </c>
      <c r="F5" s="16" t="s">
        <v>56</v>
      </c>
    </row>
    <row r="6" spans="1:6" x14ac:dyDescent="0.45">
      <c r="A6" s="5">
        <f>요약!A5</f>
        <v>1</v>
      </c>
      <c r="B6" s="10" t="str">
        <f>요약!B5</f>
        <v>header_signup</v>
      </c>
      <c r="C6" s="10" t="str">
        <f>요약!C5</f>
        <v>무료체험 신청</v>
      </c>
      <c r="D6" s="10" t="str">
        <f>요약!D5</f>
        <v>상단 헤더</v>
      </c>
      <c r="E6" s="17">
        <f>요약!F5</f>
        <v>3</v>
      </c>
      <c r="F6" s="9">
        <f>IF($E$19=0,0,E6/$E$19)</f>
        <v>8.8235294117647065E-2</v>
      </c>
    </row>
    <row r="7" spans="1:6" x14ac:dyDescent="0.45">
      <c r="A7" s="5">
        <f>요약!A6</f>
        <v>2</v>
      </c>
      <c r="B7" s="10" t="str">
        <f>요약!B6</f>
        <v>hero_signup</v>
      </c>
      <c r="C7" s="10" t="str">
        <f>요약!C6</f>
        <v>무료체험 신청하기 →</v>
      </c>
      <c r="D7" s="10" t="str">
        <f>요약!D6</f>
        <v>첫 화면(히어로)</v>
      </c>
      <c r="E7" s="17">
        <f>요약!F6</f>
        <v>4</v>
      </c>
      <c r="F7" s="9">
        <f>IF($E$19=0,0,E7/$E$19)</f>
        <v>0.11764705882352941</v>
      </c>
    </row>
    <row r="8" spans="1:6" x14ac:dyDescent="0.45">
      <c r="A8" s="5">
        <f>요약!A7</f>
        <v>3</v>
      </c>
      <c r="B8" s="10" t="str">
        <f>요약!B7</f>
        <v>hero_app</v>
      </c>
      <c r="C8" s="10" t="str">
        <f>요약!C7</f>
        <v>앱 다운로드</v>
      </c>
      <c r="D8" s="10" t="str">
        <f>요약!D7</f>
        <v>첫 화면(히어로)</v>
      </c>
      <c r="E8" s="17">
        <f>요약!F7</f>
        <v>4</v>
      </c>
      <c r="F8" s="9">
        <f>IF($E$19=0,0,E8/$E$19)</f>
        <v>0.11764705882352941</v>
      </c>
    </row>
    <row r="9" spans="1:6" x14ac:dyDescent="0.45">
      <c r="A9" s="5">
        <f>요약!A8</f>
        <v>4</v>
      </c>
      <c r="B9" s="10" t="str">
        <f>요약!B8</f>
        <v>pkg_basic</v>
      </c>
      <c r="C9" s="10" t="str">
        <f>요약!C8</f>
        <v>이 패키지로 시작하기 (등하원+기본돌봄)</v>
      </c>
      <c r="D9" s="10" t="str">
        <f>요약!D8</f>
        <v>패키지 할인</v>
      </c>
      <c r="E9" s="17">
        <f>요약!F8</f>
        <v>2</v>
      </c>
      <c r="F9" s="9">
        <f>IF($E$19=0,0,E9/$E$19)</f>
        <v>5.8823529411764705E-2</v>
      </c>
    </row>
    <row r="10" spans="1:6" x14ac:dyDescent="0.45">
      <c r="A10" s="5">
        <f>요약!A9</f>
        <v>5</v>
      </c>
      <c r="B10" s="10" t="str">
        <f>요약!B9</f>
        <v>pkg_play</v>
      </c>
      <c r="C10" s="10" t="str">
        <f>요약!C9</f>
        <v>이 패키지로 시작하기 (히어로 놀이패키지)</v>
      </c>
      <c r="D10" s="10" t="str">
        <f>요약!D9</f>
        <v>패키지 할인</v>
      </c>
      <c r="E10" s="17">
        <f>요약!F9</f>
        <v>1</v>
      </c>
      <c r="F10" s="9">
        <f>IF($E$19=0,0,E10/$E$19)</f>
        <v>2.9411764705882353E-2</v>
      </c>
    </row>
    <row r="11" spans="1:6" x14ac:dyDescent="0.45">
      <c r="A11" s="5">
        <f>요약!A10</f>
        <v>6</v>
      </c>
      <c r="B11" s="10" t="str">
        <f>요약!B10</f>
        <v>trial_signup</v>
      </c>
      <c r="C11" s="10" t="str">
        <f>요약!C10</f>
        <v>무료체험 바로 신청하기 →</v>
      </c>
      <c r="D11" s="10" t="str">
        <f>요약!D10</f>
        <v>무료체험 3단계</v>
      </c>
      <c r="E11" s="17">
        <f>요약!F10</f>
        <v>1</v>
      </c>
      <c r="F11" s="9">
        <f>IF($E$19=0,0,E11/$E$19)</f>
        <v>2.9411764705882353E-2</v>
      </c>
    </row>
    <row r="12" spans="1:6" x14ac:dyDescent="0.45">
      <c r="A12" s="5">
        <f>요약!A11</f>
        <v>7</v>
      </c>
      <c r="B12" s="10" t="str">
        <f>요약!B11</f>
        <v>checklist_done</v>
      </c>
      <c r="C12" s="10" t="str">
        <f>요약!C11</f>
        <v>무료체험 신청 → (체크리스트 완료 시 표시)</v>
      </c>
      <c r="D12" s="10" t="str">
        <f>요약!D11</f>
        <v>돌봄 체크리스트</v>
      </c>
      <c r="E12" s="17">
        <f>요약!F11</f>
        <v>1</v>
      </c>
      <c r="F12" s="9">
        <f>IF($E$19=0,0,E12/$E$19)</f>
        <v>2.9411764705882353E-2</v>
      </c>
    </row>
    <row r="13" spans="1:6" x14ac:dyDescent="0.45">
      <c r="A13" s="5">
        <f>요약!A12</f>
        <v>8</v>
      </c>
      <c r="B13" s="10" t="str">
        <f>요약!B12</f>
        <v>final_appstore</v>
      </c>
      <c r="C13" s="10" t="str">
        <f>요약!C12</f>
        <v>App Store</v>
      </c>
      <c r="D13" s="10" t="str">
        <f>요약!D12</f>
        <v>최종 CTA(앱 다운로드)</v>
      </c>
      <c r="E13" s="17">
        <f>요약!F12</f>
        <v>3</v>
      </c>
      <c r="F13" s="9">
        <f>IF($E$19=0,0,E13/$E$19)</f>
        <v>8.8235294117647065E-2</v>
      </c>
    </row>
    <row r="14" spans="1:6" x14ac:dyDescent="0.45">
      <c r="A14" s="5">
        <f>요약!A13</f>
        <v>9</v>
      </c>
      <c r="B14" s="10" t="str">
        <f>요약!B13</f>
        <v>final_playstore</v>
      </c>
      <c r="C14" s="10" t="str">
        <f>요약!C13</f>
        <v>Google Play</v>
      </c>
      <c r="D14" s="10" t="str">
        <f>요약!D13</f>
        <v>최종 CTA(앱 다운로드)</v>
      </c>
      <c r="E14" s="17">
        <f>요약!F13</f>
        <v>3</v>
      </c>
      <c r="F14" s="9">
        <f>IF($E$19=0,0,E14/$E$19)</f>
        <v>8.8235294117647065E-2</v>
      </c>
    </row>
    <row r="15" spans="1:6" x14ac:dyDescent="0.45">
      <c r="A15" s="5">
        <f>요약!A14</f>
        <v>10</v>
      </c>
      <c r="B15" s="10" t="str">
        <f>요약!B14</f>
        <v>form_submit</v>
      </c>
      <c r="C15" s="10" t="str">
        <f>요약!C14</f>
        <v>무료체험 신청 완료하기</v>
      </c>
      <c r="D15" s="10" t="str">
        <f>요약!D14</f>
        <v>간편가입 폼</v>
      </c>
      <c r="E15" s="17">
        <f>요약!F14</f>
        <v>3</v>
      </c>
      <c r="F15" s="9">
        <f>IF($E$19=0,0,E15/$E$19)</f>
        <v>8.8235294117647065E-2</v>
      </c>
    </row>
    <row r="16" spans="1:6" x14ac:dyDescent="0.45">
      <c r="A16" s="5">
        <f>요약!A15</f>
        <v>11</v>
      </c>
      <c r="B16" s="10" t="str">
        <f>요약!B15</f>
        <v>success_app</v>
      </c>
      <c r="C16" s="10" t="str">
        <f>요약!C15</f>
        <v>앱 설치하러 가기 (가입 완료 후 표시)</v>
      </c>
      <c r="D16" s="10" t="str">
        <f>요약!D15</f>
        <v>간편가입 폼</v>
      </c>
      <c r="E16" s="17">
        <f>요약!F15</f>
        <v>1</v>
      </c>
      <c r="F16" s="9">
        <f>IF($E$19=0,0,E16/$E$19)</f>
        <v>2.9411764705882353E-2</v>
      </c>
    </row>
    <row r="17" spans="1:6" x14ac:dyDescent="0.45">
      <c r="A17" s="5">
        <f>요약!A16</f>
        <v>12</v>
      </c>
      <c r="B17" s="10" t="str">
        <f>요약!B16</f>
        <v>sticky_app</v>
      </c>
      <c r="C17" s="10" t="str">
        <f>요약!C16</f>
        <v>앱 받기</v>
      </c>
      <c r="D17" s="10" t="str">
        <f>요약!D16</f>
        <v>모바일 하단 고정바</v>
      </c>
      <c r="E17" s="17">
        <f>요약!F16</f>
        <v>4</v>
      </c>
      <c r="F17" s="9">
        <f>IF($E$19=0,0,E17/$E$19)</f>
        <v>0.11764705882352941</v>
      </c>
    </row>
    <row r="18" spans="1:6" x14ac:dyDescent="0.45">
      <c r="A18" s="5">
        <f>요약!A17</f>
        <v>13</v>
      </c>
      <c r="B18" s="10" t="str">
        <f>요약!B17</f>
        <v>sticky_signup</v>
      </c>
      <c r="C18" s="10" t="str">
        <f>요약!C17</f>
        <v>무료체험 신청</v>
      </c>
      <c r="D18" s="10" t="str">
        <f>요약!D17</f>
        <v>모바일 하단 고정바</v>
      </c>
      <c r="E18" s="17">
        <f>요약!F17</f>
        <v>4</v>
      </c>
      <c r="F18" s="9">
        <f>IF($E$19=0,0,E18/$E$19)</f>
        <v>0.11764705882352941</v>
      </c>
    </row>
    <row r="19" spans="1:6" x14ac:dyDescent="0.45">
      <c r="A19" s="15"/>
      <c r="B19" s="15" t="s">
        <v>49</v>
      </c>
      <c r="C19" s="15"/>
      <c r="D19" s="15"/>
      <c r="E19" s="13">
        <f>SUM(E6:E18)</f>
        <v>34</v>
      </c>
      <c r="F19" s="14">
        <f>SUM(F6:F18)</f>
        <v>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2E63-72CC-4946-A774-DFF08990817E}">
  <dimension ref="A1:F19"/>
  <sheetViews>
    <sheetView workbookViewId="0"/>
  </sheetViews>
  <sheetFormatPr defaultRowHeight="16" x14ac:dyDescent="0.45"/>
  <cols>
    <col min="1" max="1" width="5.58203125" style="1" customWidth="1"/>
    <col min="2" max="2" width="16.58203125" style="1" customWidth="1"/>
    <col min="3" max="3" width="40.58203125" style="1" customWidth="1"/>
    <col min="4" max="4" width="22.58203125" style="1" customWidth="1"/>
    <col min="5" max="6" width="14.58203125" style="1" customWidth="1"/>
    <col min="7" max="16384" width="8.6640625" style="1"/>
  </cols>
  <sheetData>
    <row r="1" spans="1:6" ht="21" x14ac:dyDescent="0.45">
      <c r="A1" s="2" t="s">
        <v>57</v>
      </c>
    </row>
    <row r="2" spans="1:6" x14ac:dyDescent="0.45">
      <c r="A2" s="1" t="s">
        <v>58</v>
      </c>
    </row>
    <row r="3" spans="1:6" x14ac:dyDescent="0.45">
      <c r="A3" s="3" t="s">
        <v>59</v>
      </c>
    </row>
    <row r="5" spans="1:6" x14ac:dyDescent="0.45">
      <c r="A5" s="16" t="s">
        <v>2</v>
      </c>
      <c r="B5" s="16" t="s">
        <v>3</v>
      </c>
      <c r="C5" s="16" t="s">
        <v>4</v>
      </c>
      <c r="D5" s="16" t="s">
        <v>5</v>
      </c>
      <c r="E5" s="16" t="s">
        <v>60</v>
      </c>
      <c r="F5" s="16" t="s">
        <v>56</v>
      </c>
    </row>
    <row r="6" spans="1:6" x14ac:dyDescent="0.45">
      <c r="A6" s="5">
        <f>요약!A5</f>
        <v>1</v>
      </c>
      <c r="B6" s="10" t="str">
        <f>요약!B5</f>
        <v>header_signup</v>
      </c>
      <c r="C6" s="10" t="str">
        <f>요약!C5</f>
        <v>무료체험 신청</v>
      </c>
      <c r="D6" s="10" t="str">
        <f>요약!D5</f>
        <v>상단 헤더</v>
      </c>
      <c r="E6" s="17">
        <f>요약!G5</f>
        <v>0</v>
      </c>
      <c r="F6" s="9">
        <f>IF($E$19=0,0,E6/$E$19)</f>
        <v>0</v>
      </c>
    </row>
    <row r="7" spans="1:6" x14ac:dyDescent="0.45">
      <c r="A7" s="5">
        <f>요약!A6</f>
        <v>2</v>
      </c>
      <c r="B7" s="10" t="str">
        <f>요약!B6</f>
        <v>hero_signup</v>
      </c>
      <c r="C7" s="10" t="str">
        <f>요약!C6</f>
        <v>무료체험 신청하기 →</v>
      </c>
      <c r="D7" s="10" t="str">
        <f>요약!D6</f>
        <v>첫 화면(히어로)</v>
      </c>
      <c r="E7" s="17">
        <f>요약!G6</f>
        <v>1</v>
      </c>
      <c r="F7" s="9">
        <f>IF($E$19=0,0,E7/$E$19)</f>
        <v>0.33333333333333331</v>
      </c>
    </row>
    <row r="8" spans="1:6" x14ac:dyDescent="0.45">
      <c r="A8" s="5">
        <f>요약!A7</f>
        <v>3</v>
      </c>
      <c r="B8" s="10" t="str">
        <f>요약!B7</f>
        <v>hero_app</v>
      </c>
      <c r="C8" s="10" t="str">
        <f>요약!C7</f>
        <v>앱 다운로드</v>
      </c>
      <c r="D8" s="10" t="str">
        <f>요약!D7</f>
        <v>첫 화면(히어로)</v>
      </c>
      <c r="E8" s="17">
        <f>요약!G7</f>
        <v>0</v>
      </c>
      <c r="F8" s="9">
        <f>IF($E$19=0,0,E8/$E$19)</f>
        <v>0</v>
      </c>
    </row>
    <row r="9" spans="1:6" x14ac:dyDescent="0.45">
      <c r="A9" s="5">
        <f>요약!A8</f>
        <v>4</v>
      </c>
      <c r="B9" s="10" t="str">
        <f>요약!B8</f>
        <v>pkg_basic</v>
      </c>
      <c r="C9" s="10" t="str">
        <f>요약!C8</f>
        <v>이 패키지로 시작하기 (등하원+기본돌봄)</v>
      </c>
      <c r="D9" s="10" t="str">
        <f>요약!D8</f>
        <v>패키지 할인</v>
      </c>
      <c r="E9" s="17">
        <f>요약!G8</f>
        <v>1</v>
      </c>
      <c r="F9" s="9">
        <f>IF($E$19=0,0,E9/$E$19)</f>
        <v>0.33333333333333331</v>
      </c>
    </row>
    <row r="10" spans="1:6" x14ac:dyDescent="0.45">
      <c r="A10" s="5">
        <f>요약!A9</f>
        <v>5</v>
      </c>
      <c r="B10" s="10" t="str">
        <f>요약!B9</f>
        <v>pkg_play</v>
      </c>
      <c r="C10" s="10" t="str">
        <f>요약!C9</f>
        <v>이 패키지로 시작하기 (히어로 놀이패키지)</v>
      </c>
      <c r="D10" s="10" t="str">
        <f>요약!D9</f>
        <v>패키지 할인</v>
      </c>
      <c r="E10" s="17">
        <f>요약!G9</f>
        <v>0</v>
      </c>
      <c r="F10" s="9">
        <f>IF($E$19=0,0,E10/$E$19)</f>
        <v>0</v>
      </c>
    </row>
    <row r="11" spans="1:6" x14ac:dyDescent="0.45">
      <c r="A11" s="5">
        <f>요약!A10</f>
        <v>6</v>
      </c>
      <c r="B11" s="10" t="str">
        <f>요약!B10</f>
        <v>trial_signup</v>
      </c>
      <c r="C11" s="10" t="str">
        <f>요약!C10</f>
        <v>무료체험 바로 신청하기 →</v>
      </c>
      <c r="D11" s="10" t="str">
        <f>요약!D10</f>
        <v>무료체험 3단계</v>
      </c>
      <c r="E11" s="17">
        <f>요약!G10</f>
        <v>0</v>
      </c>
      <c r="F11" s="9">
        <f>IF($E$19=0,0,E11/$E$19)</f>
        <v>0</v>
      </c>
    </row>
    <row r="12" spans="1:6" x14ac:dyDescent="0.45">
      <c r="A12" s="5">
        <f>요약!A11</f>
        <v>7</v>
      </c>
      <c r="B12" s="10" t="str">
        <f>요약!B11</f>
        <v>checklist_done</v>
      </c>
      <c r="C12" s="10" t="str">
        <f>요약!C11</f>
        <v>무료체험 신청 → (체크리스트 완료 시 표시)</v>
      </c>
      <c r="D12" s="10" t="str">
        <f>요약!D11</f>
        <v>돌봄 체크리스트</v>
      </c>
      <c r="E12" s="17">
        <f>요약!G11</f>
        <v>0</v>
      </c>
      <c r="F12" s="9">
        <f>IF($E$19=0,0,E12/$E$19)</f>
        <v>0</v>
      </c>
    </row>
    <row r="13" spans="1:6" x14ac:dyDescent="0.45">
      <c r="A13" s="5">
        <f>요약!A12</f>
        <v>8</v>
      </c>
      <c r="B13" s="10" t="str">
        <f>요약!B12</f>
        <v>final_appstore</v>
      </c>
      <c r="C13" s="10" t="str">
        <f>요약!C12</f>
        <v>App Store</v>
      </c>
      <c r="D13" s="10" t="str">
        <f>요약!D12</f>
        <v>최종 CTA(앱 다운로드)</v>
      </c>
      <c r="E13" s="17">
        <f>요약!G12</f>
        <v>0</v>
      </c>
      <c r="F13" s="9">
        <f>IF($E$19=0,0,E13/$E$19)</f>
        <v>0</v>
      </c>
    </row>
    <row r="14" spans="1:6" x14ac:dyDescent="0.45">
      <c r="A14" s="5">
        <f>요약!A13</f>
        <v>9</v>
      </c>
      <c r="B14" s="10" t="str">
        <f>요약!B13</f>
        <v>final_playstore</v>
      </c>
      <c r="C14" s="10" t="str">
        <f>요약!C13</f>
        <v>Google Play</v>
      </c>
      <c r="D14" s="10" t="str">
        <f>요약!D13</f>
        <v>최종 CTA(앱 다운로드)</v>
      </c>
      <c r="E14" s="17">
        <f>요약!G13</f>
        <v>0</v>
      </c>
      <c r="F14" s="9">
        <f>IF($E$19=0,0,E14/$E$19)</f>
        <v>0</v>
      </c>
    </row>
    <row r="15" spans="1:6" x14ac:dyDescent="0.45">
      <c r="A15" s="5">
        <f>요약!A14</f>
        <v>10</v>
      </c>
      <c r="B15" s="10" t="str">
        <f>요약!B14</f>
        <v>form_submit</v>
      </c>
      <c r="C15" s="10" t="str">
        <f>요약!C14</f>
        <v>무료체험 신청 완료하기</v>
      </c>
      <c r="D15" s="10" t="str">
        <f>요약!D14</f>
        <v>간편가입 폼</v>
      </c>
      <c r="E15" s="17">
        <f>요약!G14</f>
        <v>0</v>
      </c>
      <c r="F15" s="9">
        <f>IF($E$19=0,0,E15/$E$19)</f>
        <v>0</v>
      </c>
    </row>
    <row r="16" spans="1:6" x14ac:dyDescent="0.45">
      <c r="A16" s="5">
        <f>요약!A15</f>
        <v>11</v>
      </c>
      <c r="B16" s="10" t="str">
        <f>요약!B15</f>
        <v>success_app</v>
      </c>
      <c r="C16" s="10" t="str">
        <f>요약!C15</f>
        <v>앱 설치하러 가기 (가입 완료 후 표시)</v>
      </c>
      <c r="D16" s="10" t="str">
        <f>요약!D15</f>
        <v>간편가입 폼</v>
      </c>
      <c r="E16" s="17">
        <f>요약!G15</f>
        <v>0</v>
      </c>
      <c r="F16" s="9">
        <f>IF($E$19=0,0,E16/$E$19)</f>
        <v>0</v>
      </c>
    </row>
    <row r="17" spans="1:6" x14ac:dyDescent="0.45">
      <c r="A17" s="5">
        <f>요약!A16</f>
        <v>12</v>
      </c>
      <c r="B17" s="10" t="str">
        <f>요약!B16</f>
        <v>sticky_app</v>
      </c>
      <c r="C17" s="10" t="str">
        <f>요약!C16</f>
        <v>앱 받기</v>
      </c>
      <c r="D17" s="10" t="str">
        <f>요약!D16</f>
        <v>모바일 하단 고정바</v>
      </c>
      <c r="E17" s="17">
        <f>요약!G16</f>
        <v>0</v>
      </c>
      <c r="F17" s="9">
        <f>IF($E$19=0,0,E17/$E$19)</f>
        <v>0</v>
      </c>
    </row>
    <row r="18" spans="1:6" x14ac:dyDescent="0.45">
      <c r="A18" s="5">
        <f>요약!A17</f>
        <v>13</v>
      </c>
      <c r="B18" s="10" t="str">
        <f>요약!B17</f>
        <v>sticky_signup</v>
      </c>
      <c r="C18" s="10" t="str">
        <f>요약!C17</f>
        <v>무료체험 신청</v>
      </c>
      <c r="D18" s="10" t="str">
        <f>요약!D17</f>
        <v>모바일 하단 고정바</v>
      </c>
      <c r="E18" s="17">
        <f>요약!G17</f>
        <v>1</v>
      </c>
      <c r="F18" s="9">
        <f>IF($E$19=0,0,E18/$E$19)</f>
        <v>0.33333333333333331</v>
      </c>
    </row>
    <row r="19" spans="1:6" x14ac:dyDescent="0.45">
      <c r="A19" s="15"/>
      <c r="B19" s="15" t="s">
        <v>49</v>
      </c>
      <c r="C19" s="15"/>
      <c r="D19" s="15"/>
      <c r="E19" s="13">
        <f>SUM(E6:E18)</f>
        <v>3</v>
      </c>
      <c r="F19" s="14">
        <f>SUM(F6:F18)</f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노출</vt:lpstr>
      <vt:lpstr>클릭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장명건</dc:creator>
  <cp:lastModifiedBy>장명건</cp:lastModifiedBy>
  <dcterms:created xsi:type="dcterms:W3CDTF">2026-10-26T07:23:02Z</dcterms:created>
  <dcterms:modified xsi:type="dcterms:W3CDTF">2026-10-26T07:23:09Z</dcterms:modified>
</cp:coreProperties>
</file>